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26_spring\or\hw2\"/>
    </mc:Choice>
  </mc:AlternateContent>
  <xr:revisionPtr revIDLastSave="0" documentId="13_ncr:1_{DB7A7E86-D5CF-454D-91A4-D3CDBA727781}" xr6:coauthVersionLast="47" xr6:coauthVersionMax="47" xr10:uidLastSave="{00000000-0000-0000-0000-000000000000}"/>
  <bookViews>
    <workbookView xWindow="-110" yWindow="-110" windowWidth="19420" windowHeight="10300" xr2:uid="{44CD3D87-F75A-451D-8D5F-BCC8BC84DD76}"/>
  </bookViews>
  <sheets>
    <sheet name="Sheet1" sheetId="1" r:id="rId1"/>
  </sheets>
  <definedNames>
    <definedName name="solver_adj" localSheetId="0" hidden="1">Sheet1!$C$2:$C$5,Sheet1!$F$2:$F$5,Sheet1!$I$8:$M$11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Sheet1!$B$16</definedName>
    <definedName name="solver_lhs10" localSheetId="0" hidden="1">Sheet1!$B$29</definedName>
    <definedName name="solver_lhs11" localSheetId="0" hidden="1">Sheet1!$C$2:$C$5</definedName>
    <definedName name="solver_lhs12" localSheetId="0" hidden="1">Sheet1!$F$2</definedName>
    <definedName name="solver_lhs13" localSheetId="0" hidden="1">Sheet1!$F$2:$F$5</definedName>
    <definedName name="solver_lhs14" localSheetId="0" hidden="1">Sheet1!$F$3</definedName>
    <definedName name="solver_lhs15" localSheetId="0" hidden="1">Sheet1!$F$4</definedName>
    <definedName name="solver_lhs16" localSheetId="0" hidden="1">Sheet1!$F$5</definedName>
    <definedName name="solver_lhs17" localSheetId="0" hidden="1">Sheet1!$I$8:$M$11</definedName>
    <definedName name="solver_lhs2" localSheetId="0" hidden="1">Sheet1!$B$21</definedName>
    <definedName name="solver_lhs3" localSheetId="0" hidden="1">Sheet1!$B$22</definedName>
    <definedName name="solver_lhs4" localSheetId="0" hidden="1">Sheet1!$B$23</definedName>
    <definedName name="solver_lhs5" localSheetId="0" hidden="1">Sheet1!$B$24</definedName>
    <definedName name="solver_lhs6" localSheetId="0" hidden="1">Sheet1!$B$25</definedName>
    <definedName name="solver_lhs7" localSheetId="0" hidden="1">Sheet1!$B$26</definedName>
    <definedName name="solver_lhs8" localSheetId="0" hidden="1">Sheet1!$B$27</definedName>
    <definedName name="solver_lhs9" localSheetId="0" hidden="1">Sheet1!$B$28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17</definedName>
    <definedName name="solver_nwt" localSheetId="0" hidden="1">1</definedName>
    <definedName name="solver_opt" localSheetId="0" hidden="1">Sheet1!$D$32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el10" localSheetId="0" hidden="1">3</definedName>
    <definedName name="solver_rel11" localSheetId="0" hidden="1">5</definedName>
    <definedName name="solver_rel12" localSheetId="0" hidden="1">1</definedName>
    <definedName name="solver_rel13" localSheetId="0" hidden="1">4</definedName>
    <definedName name="solver_rel14" localSheetId="0" hidden="1">1</definedName>
    <definedName name="solver_rel15" localSheetId="0" hidden="1">1</definedName>
    <definedName name="solver_rel16" localSheetId="0" hidden="1">1</definedName>
    <definedName name="solver_rel17" localSheetId="0" hidden="1">4</definedName>
    <definedName name="solver_rel2" localSheetId="0" hidden="1">1</definedName>
    <definedName name="solver_rel3" localSheetId="0" hidden="1">1</definedName>
    <definedName name="solver_rel4" localSheetId="0" hidden="1">1</definedName>
    <definedName name="solver_rel5" localSheetId="0" hidden="1">1</definedName>
    <definedName name="solver_rel6" localSheetId="0" hidden="1">3</definedName>
    <definedName name="solver_rel7" localSheetId="0" hidden="1">3</definedName>
    <definedName name="solver_rel8" localSheetId="0" hidden="1">3</definedName>
    <definedName name="solver_rel9" localSheetId="0" hidden="1">3</definedName>
    <definedName name="solver_rhs1" localSheetId="0" hidden="1">Sheet1!$D$16</definedName>
    <definedName name="solver_rhs10" localSheetId="0" hidden="1">Sheet1!$F$14</definedName>
    <definedName name="solver_rhs11" localSheetId="0" hidden="1">"二进制"</definedName>
    <definedName name="solver_rhs12" localSheetId="0" hidden="1">Sheet1!$D$17</definedName>
    <definedName name="solver_rhs13" localSheetId="0" hidden="1">"整数"</definedName>
    <definedName name="solver_rhs14" localSheetId="0" hidden="1">Sheet1!$D$18</definedName>
    <definedName name="solver_rhs15" localSheetId="0" hidden="1">Sheet1!$D$19</definedName>
    <definedName name="solver_rhs16" localSheetId="0" hidden="1">Sheet1!$D$20</definedName>
    <definedName name="solver_rhs17" localSheetId="0" hidden="1">"整数"</definedName>
    <definedName name="solver_rhs2" localSheetId="0" hidden="1">Sheet1!$F$2</definedName>
    <definedName name="solver_rhs3" localSheetId="0" hidden="1">Sheet1!$F$3</definedName>
    <definedName name="solver_rhs4" localSheetId="0" hidden="1">Sheet1!$F$4</definedName>
    <definedName name="solver_rhs5" localSheetId="0" hidden="1">Sheet1!$F$5</definedName>
    <definedName name="solver_rhs6" localSheetId="0" hidden="1">Sheet1!$B$14</definedName>
    <definedName name="solver_rhs7" localSheetId="0" hidden="1">Sheet1!$C$14</definedName>
    <definedName name="solver_rhs8" localSheetId="0" hidden="1">Sheet1!$D$14</definedName>
    <definedName name="solver_rhs9" localSheetId="0" hidden="1">Sheet1!$E$14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1" l="1"/>
  <c r="B28" i="1"/>
  <c r="B27" i="1"/>
  <c r="B26" i="1"/>
  <c r="B25" i="1"/>
  <c r="B22" i="1"/>
  <c r="B23" i="1"/>
  <c r="B24" i="1"/>
  <c r="B21" i="1"/>
  <c r="D18" i="1"/>
  <c r="D19" i="1"/>
  <c r="D20" i="1"/>
  <c r="D17" i="1"/>
  <c r="B16" i="1"/>
  <c r="C32" i="1"/>
  <c r="D32" i="1" s="1"/>
  <c r="B32" i="1"/>
  <c r="A32" i="1"/>
</calcChain>
</file>

<file path=xl/sharedStrings.xml><?xml version="1.0" encoding="utf-8"?>
<sst xmlns="http://schemas.openxmlformats.org/spreadsheetml/2006/main" count="65" uniqueCount="40">
  <si>
    <t>生产成本（单位：元/吨）</t>
  </si>
  <si>
    <t>产能上限（单位：吨/年）</t>
  </si>
  <si>
    <t>厂址1</t>
  </si>
  <si>
    <t>厂址2</t>
  </si>
  <si>
    <t>厂址3</t>
  </si>
  <si>
    <t>厂址4</t>
  </si>
  <si>
    <t>北京</t>
  </si>
  <si>
    <t>上海</t>
  </si>
  <si>
    <t>广州</t>
  </si>
  <si>
    <t>成都</t>
  </si>
  <si>
    <t>太原</t>
  </si>
  <si>
    <t>销量</t>
    <phoneticPr fontId="1" type="noConversion"/>
  </si>
  <si>
    <t>（单位：元/吨）</t>
    <phoneticPr fontId="1" type="noConversion"/>
  </si>
  <si>
    <t>（单位：吨）</t>
    <phoneticPr fontId="1" type="noConversion"/>
  </si>
  <si>
    <t>目标函数</t>
    <phoneticPr fontId="1" type="noConversion"/>
  </si>
  <si>
    <t>x_i</t>
    <phoneticPr fontId="1" type="noConversion"/>
  </si>
  <si>
    <t>y_i</t>
    <phoneticPr fontId="1" type="noConversion"/>
  </si>
  <si>
    <t>建造总成本</t>
    <phoneticPr fontId="1" type="noConversion"/>
  </si>
  <si>
    <t>生产总成本</t>
    <phoneticPr fontId="1" type="noConversion"/>
  </si>
  <si>
    <t>运输总成本</t>
    <phoneticPr fontId="1" type="noConversion"/>
  </si>
  <si>
    <t>z_1j</t>
    <phoneticPr fontId="1" type="noConversion"/>
  </si>
  <si>
    <t>z_2j</t>
  </si>
  <si>
    <t>z_3j</t>
  </si>
  <si>
    <t>z_4j</t>
  </si>
  <si>
    <t>约束条件1</t>
    <phoneticPr fontId="1" type="noConversion"/>
  </si>
  <si>
    <t>约束条件2</t>
  </si>
  <si>
    <t>约束条件3</t>
  </si>
  <si>
    <t>约束条件4</t>
  </si>
  <si>
    <t>&lt;=</t>
    <phoneticPr fontId="1" type="noConversion"/>
  </si>
  <si>
    <t>y_1</t>
    <phoneticPr fontId="1" type="noConversion"/>
  </si>
  <si>
    <t>y_2</t>
  </si>
  <si>
    <t>y_3</t>
  </si>
  <si>
    <t>y_4</t>
  </si>
  <si>
    <t>s_1</t>
    <phoneticPr fontId="1" type="noConversion"/>
  </si>
  <si>
    <t>s_2</t>
  </si>
  <si>
    <t>s_3</t>
  </si>
  <si>
    <t>s_4</t>
  </si>
  <si>
    <t>s_5</t>
  </si>
  <si>
    <t>&gt;=</t>
    <phoneticPr fontId="1" type="noConversion"/>
  </si>
  <si>
    <t>建造成本（单位：元）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</si>
</sst>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739BA-9163-49EE-887A-982FD4E28BB9}">
  <dimension ref="A1:M32"/>
  <sheetViews>
    <sheetView tabSelected="1" zoomScaleNormal="100" workbookViewId="0">
      <selection activeCell="I16" sqref="I16"/>
    </sheetView>
  </sheetViews>
  <sheetFormatPr defaultRowHeight="14" x14ac:dyDescent="0.3"/>
  <cols>
    <col min="2" max="2" width="20.1640625" customWidth="1"/>
    <col min="3" max="3" width="9.4140625" customWidth="1"/>
    <col min="4" max="4" width="20.75" customWidth="1"/>
    <col min="5" max="5" width="20.08203125" customWidth="1"/>
    <col min="7" max="7" width="13.1640625" customWidth="1"/>
    <col min="8" max="8" width="4.9140625" customWidth="1"/>
  </cols>
  <sheetData>
    <row r="1" spans="1:13" x14ac:dyDescent="0.3">
      <c r="B1" t="s">
        <v>39</v>
      </c>
      <c r="C1" s="1" t="s">
        <v>15</v>
      </c>
      <c r="D1" t="s">
        <v>0</v>
      </c>
      <c r="E1" t="s">
        <v>1</v>
      </c>
      <c r="F1" s="1" t="s">
        <v>16</v>
      </c>
    </row>
    <row r="2" spans="1:13" x14ac:dyDescent="0.3">
      <c r="A2" t="s">
        <v>2</v>
      </c>
      <c r="B2">
        <v>7500000</v>
      </c>
      <c r="C2" s="2">
        <v>1</v>
      </c>
      <c r="D2">
        <v>10000</v>
      </c>
      <c r="E2">
        <v>4500</v>
      </c>
      <c r="F2" s="2">
        <v>4500</v>
      </c>
    </row>
    <row r="3" spans="1:13" x14ac:dyDescent="0.3">
      <c r="A3" t="s">
        <v>3</v>
      </c>
      <c r="B3">
        <v>6000000</v>
      </c>
      <c r="C3" s="2">
        <v>1</v>
      </c>
      <c r="D3">
        <v>18000</v>
      </c>
      <c r="E3">
        <v>6500</v>
      </c>
      <c r="F3" s="2">
        <v>4000</v>
      </c>
    </row>
    <row r="4" spans="1:13" x14ac:dyDescent="0.3">
      <c r="A4" t="s">
        <v>4</v>
      </c>
      <c r="B4">
        <v>5000000</v>
      </c>
      <c r="C4" s="2">
        <v>0</v>
      </c>
      <c r="D4">
        <v>15000</v>
      </c>
      <c r="E4">
        <v>2500</v>
      </c>
      <c r="F4" s="2">
        <v>0</v>
      </c>
    </row>
    <row r="5" spans="1:13" x14ac:dyDescent="0.3">
      <c r="A5" t="s">
        <v>5</v>
      </c>
      <c r="B5">
        <v>9000000</v>
      </c>
      <c r="C5" s="2">
        <v>1</v>
      </c>
      <c r="D5">
        <v>20000</v>
      </c>
      <c r="E5">
        <v>5000</v>
      </c>
      <c r="F5" s="2">
        <v>3500</v>
      </c>
    </row>
    <row r="7" spans="1:13" x14ac:dyDescent="0.3"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12</v>
      </c>
      <c r="H7" s="1"/>
      <c r="I7">
        <v>1</v>
      </c>
      <c r="J7">
        <v>2</v>
      </c>
      <c r="K7">
        <v>3</v>
      </c>
      <c r="L7">
        <v>4</v>
      </c>
      <c r="M7">
        <v>5</v>
      </c>
    </row>
    <row r="8" spans="1:13" x14ac:dyDescent="0.3">
      <c r="A8" t="s">
        <v>2</v>
      </c>
      <c r="B8">
        <v>5400</v>
      </c>
      <c r="C8">
        <v>5600</v>
      </c>
      <c r="D8">
        <v>6000</v>
      </c>
      <c r="E8">
        <v>3000</v>
      </c>
      <c r="F8">
        <v>7000</v>
      </c>
      <c r="H8" s="1" t="s">
        <v>20</v>
      </c>
      <c r="I8" s="2">
        <v>0</v>
      </c>
      <c r="J8" s="2">
        <v>500</v>
      </c>
      <c r="K8" s="2">
        <v>0</v>
      </c>
      <c r="L8" s="2">
        <v>700</v>
      </c>
      <c r="M8" s="2">
        <v>3300</v>
      </c>
    </row>
    <row r="9" spans="1:13" x14ac:dyDescent="0.3">
      <c r="A9" t="s">
        <v>3</v>
      </c>
      <c r="B9">
        <v>2000</v>
      </c>
      <c r="C9">
        <v>5000</v>
      </c>
      <c r="D9">
        <v>5000</v>
      </c>
      <c r="E9">
        <v>4000</v>
      </c>
      <c r="F9">
        <v>12000</v>
      </c>
      <c r="H9" s="1" t="s">
        <v>21</v>
      </c>
      <c r="I9" s="2">
        <v>2500</v>
      </c>
      <c r="J9" s="2">
        <v>1500</v>
      </c>
      <c r="K9" s="2">
        <v>0</v>
      </c>
      <c r="L9" s="2">
        <v>0</v>
      </c>
      <c r="M9" s="2">
        <v>0</v>
      </c>
    </row>
    <row r="10" spans="1:13" x14ac:dyDescent="0.3">
      <c r="A10" t="s">
        <v>4</v>
      </c>
      <c r="B10">
        <v>7000</v>
      </c>
      <c r="C10">
        <v>12000</v>
      </c>
      <c r="D10">
        <v>11000</v>
      </c>
      <c r="E10">
        <v>9000</v>
      </c>
      <c r="F10">
        <v>12000</v>
      </c>
      <c r="H10" s="1" t="s">
        <v>22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 spans="1:13" x14ac:dyDescent="0.3">
      <c r="A11" t="s">
        <v>5</v>
      </c>
      <c r="B11">
        <v>6000</v>
      </c>
      <c r="C11">
        <v>3000</v>
      </c>
      <c r="D11">
        <v>2000</v>
      </c>
      <c r="E11">
        <v>5000</v>
      </c>
      <c r="F11">
        <v>10000</v>
      </c>
      <c r="H11" s="1" t="s">
        <v>23</v>
      </c>
      <c r="I11" s="2">
        <v>0</v>
      </c>
      <c r="J11" s="2">
        <v>0</v>
      </c>
      <c r="K11" s="2">
        <v>3500</v>
      </c>
      <c r="L11" s="2">
        <v>0</v>
      </c>
      <c r="M11" s="2">
        <v>0</v>
      </c>
    </row>
    <row r="13" spans="1:13" x14ac:dyDescent="0.3">
      <c r="B13" t="s">
        <v>6</v>
      </c>
      <c r="C13" t="s">
        <v>7</v>
      </c>
      <c r="D13" t="s">
        <v>8</v>
      </c>
      <c r="E13" t="s">
        <v>9</v>
      </c>
      <c r="F13" t="s">
        <v>10</v>
      </c>
    </row>
    <row r="14" spans="1:13" x14ac:dyDescent="0.3">
      <c r="A14" t="s">
        <v>11</v>
      </c>
      <c r="B14">
        <v>2500</v>
      </c>
      <c r="C14">
        <v>2000</v>
      </c>
      <c r="D14">
        <v>3500</v>
      </c>
      <c r="E14">
        <v>700</v>
      </c>
      <c r="F14">
        <v>3300</v>
      </c>
      <c r="G14" t="s">
        <v>13</v>
      </c>
    </row>
    <row r="16" spans="1:13" x14ac:dyDescent="0.3">
      <c r="A16" s="1" t="s">
        <v>24</v>
      </c>
      <c r="B16" s="6">
        <f>SUM(C2:C5)</f>
        <v>3</v>
      </c>
      <c r="C16" s="3" t="s">
        <v>38</v>
      </c>
      <c r="D16">
        <v>1</v>
      </c>
    </row>
    <row r="17" spans="1:4" x14ac:dyDescent="0.3">
      <c r="A17" s="1" t="s">
        <v>25</v>
      </c>
      <c r="B17" s="3" t="s">
        <v>29</v>
      </c>
      <c r="C17" s="3" t="s">
        <v>28</v>
      </c>
      <c r="D17" s="6">
        <f>C2*E2</f>
        <v>4500</v>
      </c>
    </row>
    <row r="18" spans="1:4" x14ac:dyDescent="0.3">
      <c r="A18" s="1"/>
      <c r="B18" s="3" t="s">
        <v>30</v>
      </c>
      <c r="C18" s="3" t="s">
        <v>28</v>
      </c>
      <c r="D18" s="6">
        <f t="shared" ref="D18:D20" si="0">C3*E3</f>
        <v>6500</v>
      </c>
    </row>
    <row r="19" spans="1:4" x14ac:dyDescent="0.3">
      <c r="A19" s="1"/>
      <c r="B19" s="3" t="s">
        <v>31</v>
      </c>
      <c r="C19" s="3" t="s">
        <v>28</v>
      </c>
      <c r="D19" s="6">
        <f t="shared" si="0"/>
        <v>0</v>
      </c>
    </row>
    <row r="20" spans="1:4" x14ac:dyDescent="0.3">
      <c r="A20" s="1"/>
      <c r="B20" s="3" t="s">
        <v>32</v>
      </c>
      <c r="C20" s="3" t="s">
        <v>28</v>
      </c>
      <c r="D20" s="6">
        <f t="shared" si="0"/>
        <v>5000</v>
      </c>
    </row>
    <row r="21" spans="1:4" x14ac:dyDescent="0.3">
      <c r="A21" s="1" t="s">
        <v>26</v>
      </c>
      <c r="B21" s="6">
        <f>SUM(I8:M8)</f>
        <v>4500</v>
      </c>
      <c r="C21" s="3" t="s">
        <v>28</v>
      </c>
      <c r="D21" s="3" t="s">
        <v>29</v>
      </c>
    </row>
    <row r="22" spans="1:4" x14ac:dyDescent="0.3">
      <c r="A22" s="1"/>
      <c r="B22" s="6">
        <f t="shared" ref="B22:B24" si="1">SUM(I9:M9)</f>
        <v>4000</v>
      </c>
      <c r="C22" s="3" t="s">
        <v>28</v>
      </c>
      <c r="D22" s="3" t="s">
        <v>30</v>
      </c>
    </row>
    <row r="23" spans="1:4" x14ac:dyDescent="0.3">
      <c r="A23" s="1"/>
      <c r="B23" s="6">
        <f t="shared" si="1"/>
        <v>0</v>
      </c>
      <c r="C23" s="3" t="s">
        <v>28</v>
      </c>
      <c r="D23" s="3" t="s">
        <v>31</v>
      </c>
    </row>
    <row r="24" spans="1:4" x14ac:dyDescent="0.3">
      <c r="A24" s="1"/>
      <c r="B24" s="6">
        <f t="shared" si="1"/>
        <v>3500</v>
      </c>
      <c r="C24" s="3" t="s">
        <v>28</v>
      </c>
      <c r="D24" s="3" t="s">
        <v>32</v>
      </c>
    </row>
    <row r="25" spans="1:4" x14ac:dyDescent="0.3">
      <c r="A25" s="1" t="s">
        <v>27</v>
      </c>
      <c r="B25" s="6">
        <f>SUM(I$8:I$11)</f>
        <v>2500</v>
      </c>
      <c r="C25" s="3" t="s">
        <v>38</v>
      </c>
      <c r="D25" s="3" t="s">
        <v>33</v>
      </c>
    </row>
    <row r="26" spans="1:4" x14ac:dyDescent="0.3">
      <c r="A26" s="1"/>
      <c r="B26" s="6">
        <f>SUM(J$8:J$11)</f>
        <v>2000</v>
      </c>
      <c r="C26" s="3" t="s">
        <v>38</v>
      </c>
      <c r="D26" s="3" t="s">
        <v>34</v>
      </c>
    </row>
    <row r="27" spans="1:4" x14ac:dyDescent="0.3">
      <c r="A27" s="1"/>
      <c r="B27" s="6">
        <f>SUM(K$8:K$11)</f>
        <v>3500</v>
      </c>
      <c r="C27" s="3" t="s">
        <v>38</v>
      </c>
      <c r="D27" s="3" t="s">
        <v>35</v>
      </c>
    </row>
    <row r="28" spans="1:4" x14ac:dyDescent="0.3">
      <c r="A28" s="1"/>
      <c r="B28" s="6">
        <f>SUM(L$8:L$11)</f>
        <v>700</v>
      </c>
      <c r="C28" s="3" t="s">
        <v>38</v>
      </c>
      <c r="D28" s="3" t="s">
        <v>36</v>
      </c>
    </row>
    <row r="29" spans="1:4" x14ac:dyDescent="0.3">
      <c r="A29" s="1"/>
      <c r="B29" s="6">
        <f>SUM(M$8:M$11)</f>
        <v>3300</v>
      </c>
      <c r="C29" s="3" t="s">
        <v>38</v>
      </c>
      <c r="D29" s="3" t="s">
        <v>37</v>
      </c>
    </row>
    <row r="31" spans="1:4" x14ac:dyDescent="0.3">
      <c r="A31" s="4" t="s">
        <v>17</v>
      </c>
      <c r="B31" s="1" t="s">
        <v>18</v>
      </c>
      <c r="C31" s="4" t="s">
        <v>19</v>
      </c>
      <c r="D31" s="1" t="s">
        <v>14</v>
      </c>
    </row>
    <row r="32" spans="1:4" x14ac:dyDescent="0.3">
      <c r="A32" s="5">
        <f>SUMPRODUCT(C2:C5, B2:B5)</f>
        <v>22500000</v>
      </c>
      <c r="B32" s="5">
        <f>SUMPRODUCT(F2:F5,D2:D5)</f>
        <v>187000000</v>
      </c>
      <c r="C32" s="5">
        <f>SUMPRODUCT(B8:F11,I8:M11)</f>
        <v>47500000</v>
      </c>
      <c r="D32" s="5">
        <f>SUM(A32:C32)</f>
        <v>257000000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俊林 李</dc:creator>
  <cp:lastModifiedBy>俊林 李</cp:lastModifiedBy>
  <dcterms:created xsi:type="dcterms:W3CDTF">2026-04-07T01:05:12Z</dcterms:created>
  <dcterms:modified xsi:type="dcterms:W3CDTF">2026-04-07T02:27:16Z</dcterms:modified>
</cp:coreProperties>
</file>