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26_spring\or\hw1\"/>
    </mc:Choice>
  </mc:AlternateContent>
  <xr:revisionPtr revIDLastSave="0" documentId="13_ncr:1_{165D263C-801B-432C-A563-057ABAADCDDB}" xr6:coauthVersionLast="47" xr6:coauthVersionMax="47" xr10:uidLastSave="{00000000-0000-0000-0000-000000000000}"/>
  <bookViews>
    <workbookView xWindow="-110" yWindow="-110" windowWidth="19420" windowHeight="10300" xr2:uid="{D331A459-08EA-4D23-B273-E54490D5297F}"/>
  </bookViews>
  <sheets>
    <sheet name="Sheet1" sheetId="1" r:id="rId1"/>
  </sheets>
  <definedNames>
    <definedName name="solver_adj" localSheetId="0" hidden="1">Sheet1!$E$13:$E$21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Sheet1!$B$24</definedName>
    <definedName name="solver_lhs2" localSheetId="0" hidden="1">Sheet1!$B$25</definedName>
    <definedName name="solver_lhs3" localSheetId="0" hidden="1">Sheet1!$B$26</definedName>
    <definedName name="solver_lhs4" localSheetId="0" hidden="1">Sheet1!$E$14</definedName>
    <definedName name="solver_lhs5" localSheetId="0" hidden="1">Sheet1!$E$18</definedName>
    <definedName name="solver_lhs6" localSheetId="0" hidden="1">Sheet1!$K$9</definedName>
    <definedName name="solver_lhs7" localSheetId="0" hidden="1">Sheet1!$K$9</definedName>
    <definedName name="solver_lhs8" localSheetId="0" hidden="1">Sheet1!$K$9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Sheet1!$F$13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el2" localSheetId="0" hidden="1">3</definedName>
    <definedName name="solver_rel3" localSheetId="0" hidden="1">3</definedName>
    <definedName name="solver_rel4" localSheetId="0" hidden="1">4</definedName>
    <definedName name="solver_rel5" localSheetId="0" hidden="1">1</definedName>
    <definedName name="solver_rel6" localSheetId="0" hidden="1">3</definedName>
    <definedName name="solver_rel7" localSheetId="0" hidden="1">1</definedName>
    <definedName name="solver_rel8" localSheetId="0" hidden="1">3</definedName>
    <definedName name="solver_rhs1" localSheetId="0" hidden="1">Sheet1!$C$24</definedName>
    <definedName name="solver_rhs2" localSheetId="0" hidden="1">Sheet1!$C$25</definedName>
    <definedName name="solver_rhs3" localSheetId="0" hidden="1">Sheet1!$C$26</definedName>
    <definedName name="solver_rhs4" localSheetId="0" hidden="1">"整数"</definedName>
    <definedName name="solver_rhs5" localSheetId="0" hidden="1">Sheet1!$F$18</definedName>
    <definedName name="solver_rhs6" localSheetId="0" hidden="1">Sheet1!$L$9</definedName>
    <definedName name="solver_rhs7" localSheetId="0" hidden="1">Sheet1!$M$9</definedName>
    <definedName name="solver_rhs8" localSheetId="0" hidden="1">Sheet1!$L$9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B26" i="1"/>
  <c r="B25" i="1"/>
  <c r="B24" i="1"/>
  <c r="K7" i="1"/>
  <c r="K10" i="1"/>
  <c r="K6" i="1"/>
  <c r="K8" i="1"/>
  <c r="K9" i="1"/>
  <c r="K3" i="1"/>
</calcChain>
</file>

<file path=xl/sharedStrings.xml><?xml version="1.0" encoding="utf-8"?>
<sst xmlns="http://schemas.openxmlformats.org/spreadsheetml/2006/main" count="41" uniqueCount="40">
  <si>
    <t>数量</t>
    <phoneticPr fontId="1" type="noConversion"/>
  </si>
  <si>
    <t>价格</t>
    <phoneticPr fontId="1" type="noConversion"/>
  </si>
  <si>
    <t>Hamburger</t>
  </si>
  <si>
    <t>Chicken</t>
  </si>
  <si>
    <t>Hot Dog</t>
  </si>
  <si>
    <t>Fries</t>
  </si>
  <si>
    <t>Macaroni</t>
  </si>
  <si>
    <t>Pizza</t>
  </si>
  <si>
    <t>Salad</t>
  </si>
  <si>
    <t>Milk</t>
  </si>
  <si>
    <t>Ice Cream</t>
  </si>
  <si>
    <t>总成本</t>
    <phoneticPr fontId="1" type="noConversion"/>
  </si>
  <si>
    <t>约束</t>
    <phoneticPr fontId="1" type="noConversion"/>
  </si>
  <si>
    <t>卡路里</t>
    <phoneticPr fontId="1" type="noConversion"/>
  </si>
  <si>
    <t>蛋白质</t>
    <phoneticPr fontId="1" type="noConversion"/>
  </si>
  <si>
    <t>脂肪</t>
    <phoneticPr fontId="1" type="noConversion"/>
  </si>
  <si>
    <t>钠</t>
    <phoneticPr fontId="1" type="noConversion"/>
  </si>
  <si>
    <t>摄入量</t>
    <phoneticPr fontId="1" type="noConversion"/>
  </si>
  <si>
    <t>最低摄入量</t>
    <phoneticPr fontId="1" type="noConversion"/>
  </si>
  <si>
    <t>最大摄入量</t>
    <phoneticPr fontId="1" type="noConversion"/>
  </si>
  <si>
    <t>infinity</t>
  </si>
  <si>
    <t>奶制品</t>
    <phoneticPr fontId="1" type="noConversion"/>
  </si>
  <si>
    <t>2.9m元钢</t>
    <phoneticPr fontId="1" type="noConversion"/>
  </si>
  <si>
    <t>2.1m元钢</t>
    <phoneticPr fontId="1" type="noConversion"/>
  </si>
  <si>
    <t>1.5m元钢</t>
    <phoneticPr fontId="1" type="noConversion"/>
  </si>
  <si>
    <t>方案1</t>
    <phoneticPr fontId="1" type="noConversion"/>
  </si>
  <si>
    <t>方案2</t>
  </si>
  <si>
    <t>方案3</t>
  </si>
  <si>
    <t>方案4</t>
  </si>
  <si>
    <t>方案5</t>
  </si>
  <si>
    <t>方案6</t>
  </si>
  <si>
    <t>方案7</t>
  </si>
  <si>
    <t>方案8</t>
  </si>
  <si>
    <t>方案9</t>
  </si>
  <si>
    <t>使用次数</t>
    <phoneticPr fontId="1" type="noConversion"/>
  </si>
  <si>
    <t>消耗原材料个数</t>
    <phoneticPr fontId="1" type="noConversion"/>
  </si>
  <si>
    <t>2.9m元钢个数</t>
    <phoneticPr fontId="1" type="noConversion"/>
  </si>
  <si>
    <t>2.1m元钢个数</t>
    <phoneticPr fontId="1" type="noConversion"/>
  </si>
  <si>
    <t>1.5m元钢个数</t>
    <phoneticPr fontId="1" type="noConversion"/>
  </si>
  <si>
    <t>个数下限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</si>
</sst>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2" fillId="0" borderId="0" xfId="0" applyFont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0" xfId="0" applyFill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4" fillId="4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32BAA-2B37-4C3C-9A14-F6444D936C98}">
  <dimension ref="A1:M26"/>
  <sheetViews>
    <sheetView tabSelected="1" topLeftCell="A10" workbookViewId="0">
      <selection activeCell="H18" sqref="H18"/>
    </sheetView>
  </sheetViews>
  <sheetFormatPr defaultRowHeight="14" x14ac:dyDescent="0.3"/>
  <cols>
    <col min="1" max="1" width="15.08203125" customWidth="1"/>
    <col min="5" max="5" width="11.6640625" customWidth="1"/>
    <col min="6" max="6" width="13.33203125" customWidth="1"/>
    <col min="12" max="12" width="10" customWidth="1"/>
    <col min="13" max="13" width="9.58203125" customWidth="1"/>
    <col min="14" max="14" width="10" customWidth="1"/>
  </cols>
  <sheetData>
    <row r="1" spans="1:13" x14ac:dyDescent="0.3"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3" x14ac:dyDescent="0.3">
      <c r="A2" s="3" t="s">
        <v>0</v>
      </c>
      <c r="B2" s="4">
        <v>0.90608667467959458</v>
      </c>
      <c r="C2" s="4">
        <v>0.15550798816967648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2.6817777897821626</v>
      </c>
      <c r="J2" s="4">
        <v>3.3182222102178378</v>
      </c>
      <c r="K2" s="3" t="s">
        <v>11</v>
      </c>
    </row>
    <row r="3" spans="1:13" x14ac:dyDescent="0.3">
      <c r="A3" s="3" t="s">
        <v>1</v>
      </c>
      <c r="B3">
        <v>2.4900000000000002</v>
      </c>
      <c r="C3">
        <v>2.89</v>
      </c>
      <c r="D3">
        <v>1.5</v>
      </c>
      <c r="E3">
        <v>1.89</v>
      </c>
      <c r="F3">
        <v>2.09</v>
      </c>
      <c r="G3">
        <v>1.99</v>
      </c>
      <c r="H3">
        <v>2.4900000000000002</v>
      </c>
      <c r="I3">
        <v>0.89</v>
      </c>
      <c r="J3">
        <v>1.59</v>
      </c>
      <c r="K3" s="2">
        <f>SUMPRODUCT(B2:J2, B3:J3)</f>
        <v>10.368329452915043</v>
      </c>
    </row>
    <row r="5" spans="1:13" x14ac:dyDescent="0.3">
      <c r="A5" s="3" t="s">
        <v>12</v>
      </c>
      <c r="K5" s="3" t="s">
        <v>17</v>
      </c>
      <c r="L5" s="3" t="s">
        <v>18</v>
      </c>
      <c r="M5" s="3" t="s">
        <v>19</v>
      </c>
    </row>
    <row r="6" spans="1:13" x14ac:dyDescent="0.3">
      <c r="A6" s="3" t="s">
        <v>13</v>
      </c>
      <c r="B6">
        <v>410</v>
      </c>
      <c r="C6">
        <v>420</v>
      </c>
      <c r="D6">
        <v>560</v>
      </c>
      <c r="E6">
        <v>380</v>
      </c>
      <c r="F6">
        <v>320</v>
      </c>
      <c r="G6">
        <v>320</v>
      </c>
      <c r="H6">
        <v>320</v>
      </c>
      <c r="I6">
        <v>100</v>
      </c>
      <c r="J6">
        <v>330</v>
      </c>
      <c r="K6" s="1">
        <f>SUMPRODUCT($B$2:$J$2, B6:J6)</f>
        <v>1800.0000000000007</v>
      </c>
      <c r="L6">
        <v>1800</v>
      </c>
      <c r="M6">
        <v>2200</v>
      </c>
    </row>
    <row r="7" spans="1:13" x14ac:dyDescent="0.3">
      <c r="A7" s="3" t="s">
        <v>14</v>
      </c>
      <c r="B7">
        <v>24</v>
      </c>
      <c r="C7">
        <v>32</v>
      </c>
      <c r="D7">
        <v>20</v>
      </c>
      <c r="E7">
        <v>4</v>
      </c>
      <c r="F7">
        <v>12</v>
      </c>
      <c r="G7">
        <v>15</v>
      </c>
      <c r="H7">
        <v>31</v>
      </c>
      <c r="I7">
        <v>8</v>
      </c>
      <c r="J7">
        <v>8</v>
      </c>
      <c r="K7" s="1">
        <f t="shared" ref="K7:K9" si="0">SUMPRODUCT($B$2:$J$2, B7:J7)</f>
        <v>74.722335813739917</v>
      </c>
      <c r="L7">
        <v>91</v>
      </c>
      <c r="M7" t="s">
        <v>20</v>
      </c>
    </row>
    <row r="8" spans="1:13" x14ac:dyDescent="0.3">
      <c r="A8" s="3" t="s">
        <v>15</v>
      </c>
      <c r="B8">
        <v>26</v>
      </c>
      <c r="C8">
        <v>10</v>
      </c>
      <c r="D8">
        <v>32</v>
      </c>
      <c r="E8">
        <v>19</v>
      </c>
      <c r="F8">
        <v>10</v>
      </c>
      <c r="G8">
        <v>12</v>
      </c>
      <c r="H8">
        <v>12</v>
      </c>
      <c r="I8">
        <v>2.5</v>
      </c>
      <c r="J8">
        <v>10</v>
      </c>
      <c r="K8" s="1">
        <f t="shared" si="0"/>
        <v>65.000000000000014</v>
      </c>
      <c r="L8">
        <v>0</v>
      </c>
      <c r="M8">
        <v>65</v>
      </c>
    </row>
    <row r="9" spans="1:13" x14ac:dyDescent="0.3">
      <c r="A9" s="3" t="s">
        <v>16</v>
      </c>
      <c r="B9">
        <v>730</v>
      </c>
      <c r="C9">
        <v>1190</v>
      </c>
      <c r="D9">
        <v>1800</v>
      </c>
      <c r="E9">
        <v>270</v>
      </c>
      <c r="F9">
        <v>930</v>
      </c>
      <c r="G9">
        <v>820</v>
      </c>
      <c r="H9">
        <v>1230</v>
      </c>
      <c r="I9">
        <v>125</v>
      </c>
      <c r="J9">
        <v>180</v>
      </c>
      <c r="K9" s="1">
        <f t="shared" si="0"/>
        <v>1779</v>
      </c>
      <c r="L9">
        <v>0</v>
      </c>
      <c r="M9">
        <v>1779</v>
      </c>
    </row>
    <row r="10" spans="1:13" x14ac:dyDescent="0.3">
      <c r="A10" s="3" t="s">
        <v>21</v>
      </c>
      <c r="K10" s="1">
        <f>SUM(I2,J2)</f>
        <v>6</v>
      </c>
      <c r="M10">
        <v>6</v>
      </c>
    </row>
    <row r="12" spans="1:13" x14ac:dyDescent="0.3">
      <c r="A12" s="7"/>
      <c r="B12" s="7" t="s">
        <v>22</v>
      </c>
      <c r="C12" s="7" t="s">
        <v>23</v>
      </c>
      <c r="D12" s="7" t="s">
        <v>24</v>
      </c>
      <c r="E12" s="7" t="s">
        <v>34</v>
      </c>
      <c r="F12" s="7" t="s">
        <v>35</v>
      </c>
    </row>
    <row r="13" spans="1:13" x14ac:dyDescent="0.3">
      <c r="A13" s="7" t="s">
        <v>25</v>
      </c>
      <c r="B13" s="6">
        <v>2</v>
      </c>
      <c r="C13" s="6">
        <v>0</v>
      </c>
      <c r="D13" s="6">
        <v>0</v>
      </c>
      <c r="E13" s="9">
        <v>0</v>
      </c>
      <c r="F13" s="5">
        <f>SUM(E13:E21)</f>
        <v>90</v>
      </c>
    </row>
    <row r="14" spans="1:13" x14ac:dyDescent="0.3">
      <c r="A14" s="7" t="s">
        <v>26</v>
      </c>
      <c r="B14" s="6">
        <v>0</v>
      </c>
      <c r="C14" s="6">
        <v>3</v>
      </c>
      <c r="D14" s="6">
        <v>0</v>
      </c>
      <c r="E14" s="9">
        <v>0</v>
      </c>
      <c r="F14" s="6"/>
    </row>
    <row r="15" spans="1:13" x14ac:dyDescent="0.3">
      <c r="A15" s="7" t="s">
        <v>27</v>
      </c>
      <c r="B15" s="6">
        <v>0</v>
      </c>
      <c r="C15" s="6">
        <v>0</v>
      </c>
      <c r="D15" s="6">
        <v>4</v>
      </c>
      <c r="E15" s="9">
        <v>0</v>
      </c>
      <c r="F15" s="6"/>
    </row>
    <row r="16" spans="1:13" x14ac:dyDescent="0.3">
      <c r="A16" s="7" t="s">
        <v>28</v>
      </c>
      <c r="B16" s="6">
        <v>1</v>
      </c>
      <c r="C16" s="6">
        <v>2</v>
      </c>
      <c r="D16" s="6">
        <v>0</v>
      </c>
      <c r="E16" s="9">
        <v>20</v>
      </c>
      <c r="F16" s="7"/>
    </row>
    <row r="17" spans="1:6" x14ac:dyDescent="0.3">
      <c r="A17" s="7" t="s">
        <v>29</v>
      </c>
      <c r="B17" s="6">
        <v>1</v>
      </c>
      <c r="C17" s="6">
        <v>0</v>
      </c>
      <c r="D17" s="6">
        <v>3</v>
      </c>
      <c r="E17" s="9">
        <v>0</v>
      </c>
      <c r="F17" s="6"/>
    </row>
    <row r="18" spans="1:6" x14ac:dyDescent="0.3">
      <c r="A18" s="7" t="s">
        <v>30</v>
      </c>
      <c r="B18" s="6">
        <v>2</v>
      </c>
      <c r="C18" s="6">
        <v>0</v>
      </c>
      <c r="D18" s="6">
        <v>1</v>
      </c>
      <c r="E18" s="9">
        <v>40</v>
      </c>
      <c r="F18" s="8"/>
    </row>
    <row r="19" spans="1:6" x14ac:dyDescent="0.3">
      <c r="A19" s="7" t="s">
        <v>31</v>
      </c>
      <c r="B19">
        <v>0</v>
      </c>
      <c r="C19">
        <v>1</v>
      </c>
      <c r="D19">
        <v>3</v>
      </c>
      <c r="E19" s="9">
        <v>0</v>
      </c>
    </row>
    <row r="20" spans="1:6" x14ac:dyDescent="0.3">
      <c r="A20" s="7" t="s">
        <v>32</v>
      </c>
      <c r="B20">
        <v>0</v>
      </c>
      <c r="C20">
        <v>2</v>
      </c>
      <c r="D20">
        <v>2</v>
      </c>
      <c r="E20" s="9">
        <v>29.999999999999996</v>
      </c>
    </row>
    <row r="21" spans="1:6" x14ac:dyDescent="0.3">
      <c r="A21" s="7" t="s">
        <v>33</v>
      </c>
      <c r="B21">
        <v>1</v>
      </c>
      <c r="C21">
        <v>1</v>
      </c>
      <c r="D21">
        <v>1</v>
      </c>
      <c r="E21" s="9">
        <v>0</v>
      </c>
    </row>
    <row r="23" spans="1:6" x14ac:dyDescent="0.3">
      <c r="A23" s="3" t="s">
        <v>12</v>
      </c>
      <c r="C23" s="3" t="s">
        <v>39</v>
      </c>
    </row>
    <row r="24" spans="1:6" x14ac:dyDescent="0.3">
      <c r="A24" s="3" t="s">
        <v>36</v>
      </c>
      <c r="B24" s="1">
        <f>SUMPRODUCT(B$13:B$21,$E$13:$E$21)</f>
        <v>100</v>
      </c>
      <c r="C24">
        <v>100</v>
      </c>
    </row>
    <row r="25" spans="1:6" x14ac:dyDescent="0.3">
      <c r="A25" s="3" t="s">
        <v>37</v>
      </c>
      <c r="B25" s="1">
        <f>SUMPRODUCT(C$13:C$21,$E$13:$E$21)</f>
        <v>100</v>
      </c>
      <c r="C25">
        <v>100</v>
      </c>
    </row>
    <row r="26" spans="1:6" x14ac:dyDescent="0.3">
      <c r="A26" s="3" t="s">
        <v>38</v>
      </c>
      <c r="B26" s="1">
        <f>SUMPRODUCT(D$13:D$21,$E$13:$E$21)</f>
        <v>100</v>
      </c>
      <c r="C26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俊林 李</dc:creator>
  <cp:lastModifiedBy>俊林 李</cp:lastModifiedBy>
  <dcterms:created xsi:type="dcterms:W3CDTF">2026-03-24T00:46:08Z</dcterms:created>
  <dcterms:modified xsi:type="dcterms:W3CDTF">2026-03-24T05:27:42Z</dcterms:modified>
</cp:coreProperties>
</file>