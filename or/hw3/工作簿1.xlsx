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26_spring\or\hw3\"/>
    </mc:Choice>
  </mc:AlternateContent>
  <xr:revisionPtr revIDLastSave="0" documentId="13_ncr:1_{FF4FCB4C-C7DA-44CD-87A4-D1AC37BC9D8D}" xr6:coauthVersionLast="47" xr6:coauthVersionMax="47" xr10:uidLastSave="{00000000-0000-0000-0000-000000000000}"/>
  <bookViews>
    <workbookView xWindow="-110" yWindow="-110" windowWidth="19420" windowHeight="10300" xr2:uid="{C1371FF6-74ED-44D0-A6D7-4DE60E2F2833}"/>
  </bookViews>
  <sheets>
    <sheet name="Sheet1" sheetId="1" r:id="rId1"/>
  </sheets>
  <definedNames>
    <definedName name="solver_adj" localSheetId="0" hidden="1">Sheet1!$B$8:$B$17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Sheet1!$B$8:$B$17</definedName>
    <definedName name="solver_lhs2" localSheetId="0" hidden="1">Sheet1!$H$8:$H$12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Sheet1!$C$19</definedName>
    <definedName name="solver_pre" localSheetId="0" hidden="1">0.000001</definedName>
    <definedName name="solver_rbv" localSheetId="0" hidden="1">2</definedName>
    <definedName name="solver_rel1" localSheetId="0" hidden="1">5</definedName>
    <definedName name="solver_rel2" localSheetId="0" hidden="1">2</definedName>
    <definedName name="solver_rhs1" localSheetId="0" hidden="1">"二进制"</definedName>
    <definedName name="solver_rhs2" localSheetId="0" hidden="1">Sheet1!$I$8:$I$12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1" l="1"/>
  <c r="H9" i="1"/>
  <c r="H10" i="1"/>
  <c r="H11" i="1"/>
  <c r="H12" i="1"/>
  <c r="C19" i="1"/>
  <c r="E17" i="1"/>
  <c r="E16" i="1"/>
  <c r="E15" i="1"/>
  <c r="E14" i="1"/>
  <c r="E13" i="1"/>
  <c r="E12" i="1"/>
  <c r="E11" i="1"/>
  <c r="E10" i="1"/>
  <c r="E9" i="1"/>
  <c r="E8" i="1"/>
</calcChain>
</file>

<file path=xl/sharedStrings.xml><?xml version="1.0" encoding="utf-8"?>
<sst xmlns="http://schemas.openxmlformats.org/spreadsheetml/2006/main" count="15" uniqueCount="15">
  <si>
    <t>ship</t>
    <phoneticPr fontId="1" type="noConversion"/>
  </si>
  <si>
    <t>from</t>
    <phoneticPr fontId="1" type="noConversion"/>
  </si>
  <si>
    <t>to</t>
    <phoneticPr fontId="1" type="noConversion"/>
  </si>
  <si>
    <t>cost</t>
    <phoneticPr fontId="1" type="noConversion"/>
  </si>
  <si>
    <t>第一年</t>
  </si>
  <si>
    <t>第二年</t>
  </si>
  <si>
    <t>第三年</t>
  </si>
  <si>
    <t>第四年</t>
  </si>
  <si>
    <t xml:space="preserve">年初购置价 </t>
  </si>
  <si>
    <t>使用第i年末的机器处理价</t>
  </si>
  <si>
    <t xml:space="preserve">机器运行及维修费 </t>
  </si>
  <si>
    <t>TotalCost</t>
    <phoneticPr fontId="1" type="noConversion"/>
  </si>
  <si>
    <t>nodes</t>
    <phoneticPr fontId="1" type="noConversion"/>
  </si>
  <si>
    <t>net flow</t>
    <phoneticPr fontId="1" type="noConversion"/>
  </si>
  <si>
    <t>supply/demand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</si>
</sst>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6F132-0BDA-4124-A336-CC9878603C0F}">
  <dimension ref="B2:I19"/>
  <sheetViews>
    <sheetView tabSelected="1" topLeftCell="A4" workbookViewId="0">
      <selection activeCell="E17" sqref="E17"/>
    </sheetView>
  </sheetViews>
  <sheetFormatPr defaultRowHeight="14" x14ac:dyDescent="0.3"/>
  <cols>
    <col min="2" max="2" width="21.1640625" customWidth="1"/>
    <col min="9" max="9" width="8.58203125" customWidth="1"/>
  </cols>
  <sheetData>
    <row r="2" spans="2:9" x14ac:dyDescent="0.3">
      <c r="C2" t="s">
        <v>4</v>
      </c>
      <c r="D2" t="s">
        <v>5</v>
      </c>
      <c r="E2" t="s">
        <v>6</v>
      </c>
      <c r="F2" t="s">
        <v>7</v>
      </c>
    </row>
    <row r="3" spans="2:9" x14ac:dyDescent="0.3">
      <c r="B3" t="s">
        <v>8</v>
      </c>
      <c r="C3">
        <v>2.5</v>
      </c>
      <c r="D3">
        <v>2.6</v>
      </c>
      <c r="E3">
        <v>2.8</v>
      </c>
      <c r="F3">
        <v>3.1</v>
      </c>
    </row>
    <row r="4" spans="2:9" x14ac:dyDescent="0.3">
      <c r="B4" t="s">
        <v>9</v>
      </c>
      <c r="C4">
        <v>2</v>
      </c>
      <c r="D4">
        <v>1.6</v>
      </c>
      <c r="E4">
        <v>1.3</v>
      </c>
      <c r="F4">
        <v>1.1000000000000001</v>
      </c>
    </row>
    <row r="5" spans="2:9" x14ac:dyDescent="0.3">
      <c r="B5" t="s">
        <v>10</v>
      </c>
      <c r="C5">
        <v>0.3</v>
      </c>
      <c r="D5">
        <v>0.8</v>
      </c>
      <c r="E5">
        <v>1.5</v>
      </c>
      <c r="F5">
        <v>2</v>
      </c>
    </row>
    <row r="7" spans="2:9" x14ac:dyDescent="0.3">
      <c r="B7" t="s">
        <v>0</v>
      </c>
      <c r="C7" t="s">
        <v>1</v>
      </c>
      <c r="D7" t="s">
        <v>2</v>
      </c>
      <c r="E7" t="s">
        <v>3</v>
      </c>
      <c r="G7" t="s">
        <v>12</v>
      </c>
      <c r="H7" t="s">
        <v>13</v>
      </c>
      <c r="I7" t="s">
        <v>14</v>
      </c>
    </row>
    <row r="8" spans="2:9" x14ac:dyDescent="0.3">
      <c r="B8" s="1">
        <v>1</v>
      </c>
      <c r="C8">
        <v>1</v>
      </c>
      <c r="D8">
        <v>2</v>
      </c>
      <c r="E8">
        <f>C3+C5-C4</f>
        <v>0.79999999999999982</v>
      </c>
      <c r="G8">
        <v>0</v>
      </c>
      <c r="H8" s="3">
        <f t="shared" ref="H8:H12" si="0">SUMIF($D$8:$D$17,G8+1,$B$8:$B$17)-SUMIF($C$8:$C$17,G8+1,$B$8:$B$17)</f>
        <v>-1</v>
      </c>
      <c r="I8">
        <v>-1</v>
      </c>
    </row>
    <row r="9" spans="2:9" x14ac:dyDescent="0.3">
      <c r="B9" s="1">
        <v>0</v>
      </c>
      <c r="C9">
        <v>1</v>
      </c>
      <c r="D9">
        <v>3</v>
      </c>
      <c r="E9">
        <f>C3+C5+D5-D4</f>
        <v>1.9999999999999996</v>
      </c>
      <c r="G9">
        <v>1</v>
      </c>
      <c r="H9" s="3">
        <f t="shared" si="0"/>
        <v>0</v>
      </c>
      <c r="I9">
        <v>0</v>
      </c>
    </row>
    <row r="10" spans="2:9" x14ac:dyDescent="0.3">
      <c r="B10" s="1">
        <v>0</v>
      </c>
      <c r="C10">
        <v>1</v>
      </c>
      <c r="D10">
        <v>4</v>
      </c>
      <c r="E10">
        <f>C3+C5+D5+E5-E4</f>
        <v>3.8</v>
      </c>
      <c r="G10">
        <v>2</v>
      </c>
      <c r="H10" s="3">
        <f t="shared" si="0"/>
        <v>0</v>
      </c>
      <c r="I10">
        <v>0</v>
      </c>
    </row>
    <row r="11" spans="2:9" x14ac:dyDescent="0.3">
      <c r="B11" s="1">
        <v>0</v>
      </c>
      <c r="C11">
        <v>1</v>
      </c>
      <c r="D11">
        <v>5</v>
      </c>
      <c r="E11">
        <f>C3+C5+D5+E5+F5-F4</f>
        <v>6</v>
      </c>
      <c r="G11">
        <v>3</v>
      </c>
      <c r="H11" s="3">
        <f t="shared" si="0"/>
        <v>0</v>
      </c>
      <c r="I11">
        <v>0</v>
      </c>
    </row>
    <row r="12" spans="2:9" x14ac:dyDescent="0.3">
      <c r="B12" s="1">
        <v>1</v>
      </c>
      <c r="C12">
        <v>2</v>
      </c>
      <c r="D12">
        <v>3</v>
      </c>
      <c r="E12">
        <f>D3+C5-C4</f>
        <v>0.89999999999999991</v>
      </c>
      <c r="G12">
        <v>4</v>
      </c>
      <c r="H12" s="3">
        <f t="shared" si="0"/>
        <v>1</v>
      </c>
      <c r="I12">
        <v>1</v>
      </c>
    </row>
    <row r="13" spans="2:9" x14ac:dyDescent="0.3">
      <c r="B13" s="1">
        <v>0</v>
      </c>
      <c r="C13">
        <v>2</v>
      </c>
      <c r="D13">
        <v>4</v>
      </c>
      <c r="E13">
        <f>D3+C5+D5-D4</f>
        <v>2.1</v>
      </c>
    </row>
    <row r="14" spans="2:9" x14ac:dyDescent="0.3">
      <c r="B14" s="1">
        <v>0</v>
      </c>
      <c r="C14">
        <v>2</v>
      </c>
      <c r="D14">
        <v>5</v>
      </c>
      <c r="E14">
        <f>D3+C5+D5+E5-E4</f>
        <v>3.9000000000000004</v>
      </c>
    </row>
    <row r="15" spans="2:9" x14ac:dyDescent="0.3">
      <c r="B15" s="1">
        <v>0</v>
      </c>
      <c r="C15">
        <v>3</v>
      </c>
      <c r="D15">
        <v>4</v>
      </c>
      <c r="E15">
        <f>E3+C5-C4</f>
        <v>1.0999999999999996</v>
      </c>
    </row>
    <row r="16" spans="2:9" x14ac:dyDescent="0.3">
      <c r="B16" s="1">
        <v>1</v>
      </c>
      <c r="C16">
        <v>3</v>
      </c>
      <c r="D16">
        <v>5</v>
      </c>
      <c r="E16">
        <f>E3+C5+D5-D4</f>
        <v>2.2999999999999994</v>
      </c>
    </row>
    <row r="17" spans="2:5" x14ac:dyDescent="0.3">
      <c r="B17" s="1">
        <v>0</v>
      </c>
      <c r="C17">
        <v>4</v>
      </c>
      <c r="D17">
        <v>5</v>
      </c>
      <c r="E17">
        <f>F3+C5-C4</f>
        <v>1.4</v>
      </c>
    </row>
    <row r="19" spans="2:5" x14ac:dyDescent="0.3">
      <c r="B19" t="s">
        <v>11</v>
      </c>
      <c r="C19" s="2">
        <f>SUMPRODUCT(B8:B17,E8:E17)</f>
        <v>3.9999999999999991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俊林 李</dc:creator>
  <cp:lastModifiedBy>俊林 李</cp:lastModifiedBy>
  <dcterms:created xsi:type="dcterms:W3CDTF">2026-04-14T09:37:22Z</dcterms:created>
  <dcterms:modified xsi:type="dcterms:W3CDTF">2026-04-14T14:31:34Z</dcterms:modified>
</cp:coreProperties>
</file>